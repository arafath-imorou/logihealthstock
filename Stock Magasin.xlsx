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B164EBE-E1B8-4895-B914-2938A27CA53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ableau de bord" sheetId="1" r:id="rId1"/>
    <sheet name="Stock Pharmacie" sheetId="2" r:id="rId2"/>
    <sheet name="Caisse Journalière" sheetId="3" r:id="rId3"/>
    <sheet name="Patients" sheetId="4" r:id="rId4"/>
    <sheet name="État Financier" sheetId="6" r:id="rId5"/>
    <sheet name="REMERCOM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3" l="1"/>
  <c r="D34" i="3"/>
  <c r="C35" i="3" s="1"/>
  <c r="B3" i="1" l="1"/>
  <c r="B2" i="1"/>
  <c r="B4" i="1" l="1"/>
</calcChain>
</file>

<file path=xl/sharedStrings.xml><?xml version="1.0" encoding="utf-8"?>
<sst xmlns="http://schemas.openxmlformats.org/spreadsheetml/2006/main" count="277" uniqueCount="140">
  <si>
    <t>Indicateur</t>
  </si>
  <si>
    <t>Valeur</t>
  </si>
  <si>
    <t>Recettes Pharmacie</t>
  </si>
  <si>
    <t>Dépenses</t>
  </si>
  <si>
    <t>Bénéfice</t>
  </si>
  <si>
    <t>Code</t>
  </si>
  <si>
    <t>Médicament</t>
  </si>
  <si>
    <t>Stock Restant</t>
  </si>
  <si>
    <t>Date</t>
  </si>
  <si>
    <t>Recettes</t>
  </si>
  <si>
    <t>Observation</t>
  </si>
  <si>
    <t>N°</t>
  </si>
  <si>
    <t>Nom du patient</t>
  </si>
  <si>
    <t>Âge</t>
  </si>
  <si>
    <t>Sexe</t>
  </si>
  <si>
    <t>Consultation</t>
  </si>
  <si>
    <t>Maternité</t>
  </si>
  <si>
    <t>Observations</t>
  </si>
  <si>
    <t>Quantité Entrée</t>
  </si>
  <si>
    <t>Quantité Sortie</t>
  </si>
  <si>
    <t>Stock Disponible</t>
  </si>
  <si>
    <t>Responsable</t>
  </si>
  <si>
    <t>Mois</t>
  </si>
  <si>
    <t xml:space="preserve">Amoxicilline 500mg cp </t>
  </si>
  <si>
    <t>Amoxicilline 250ml sirop</t>
  </si>
  <si>
    <t>Amoxicilline sirop 125ml</t>
  </si>
  <si>
    <t>Albendazole cp 400mg</t>
  </si>
  <si>
    <t>Acide ascorbique inj</t>
  </si>
  <si>
    <t>Ampicilline 1g inj</t>
  </si>
  <si>
    <t>Ampicilline 500mg inj</t>
  </si>
  <si>
    <t xml:space="preserve">Aluminium hydroxide cp </t>
  </si>
  <si>
    <t xml:space="preserve">Artheméther inj </t>
  </si>
  <si>
    <t>Béthaméthazone 1ml inj</t>
  </si>
  <si>
    <t>Butylscopolamine cp 10mg</t>
  </si>
  <si>
    <t>Butylscopolamine inj 2ml</t>
  </si>
  <si>
    <t>Calcium inj</t>
  </si>
  <si>
    <t>Carnet maternité</t>
  </si>
  <si>
    <t>Carnet soin</t>
  </si>
  <si>
    <t>Carte maternité</t>
  </si>
  <si>
    <t>Cathéter  G20</t>
  </si>
  <si>
    <t>Cathéter G22</t>
  </si>
  <si>
    <t>Cathéter G24</t>
  </si>
  <si>
    <t>Cathéter G18</t>
  </si>
  <si>
    <t>Ceftriaxone 1g</t>
  </si>
  <si>
    <t>Ciprofloxacine inj</t>
  </si>
  <si>
    <t>Ciprofloxacine cp</t>
  </si>
  <si>
    <t>Cloxacilline cp 250mg</t>
  </si>
  <si>
    <t xml:space="preserve">Coarterm cp blisterde 6 </t>
  </si>
  <si>
    <t xml:space="preserve">Coarterm cp blisterde 12 </t>
  </si>
  <si>
    <t>Coartem cp blister de 18</t>
  </si>
  <si>
    <t>Coartem cp blister de 24</t>
  </si>
  <si>
    <t xml:space="preserve">Cotrimozal sirop </t>
  </si>
  <si>
    <t xml:space="preserve">Cotrimozal cp </t>
  </si>
  <si>
    <t>Diazépam cp</t>
  </si>
  <si>
    <t>Diazépam inj</t>
  </si>
  <si>
    <t>Diclofenac cp</t>
  </si>
  <si>
    <t>Diclofenac inj</t>
  </si>
  <si>
    <t>Doxycycline cp</t>
  </si>
  <si>
    <t>Fer Fumarate 200mg cp</t>
  </si>
  <si>
    <t>Folique acide  cp</t>
  </si>
  <si>
    <t>Fil de suture</t>
  </si>
  <si>
    <t>Gentamycine inj 2ml</t>
  </si>
  <si>
    <t>Gentamycine collyre oph</t>
  </si>
  <si>
    <t>Glucosé 10%500ml</t>
  </si>
  <si>
    <t>GLucosé 10%250ml</t>
  </si>
  <si>
    <t>Glucosé 5% 500ml</t>
  </si>
  <si>
    <t>Ibuprofène cp</t>
  </si>
  <si>
    <t xml:space="preserve">Ringer 500ml </t>
  </si>
  <si>
    <t xml:space="preserve">Mebendazole 100mg cp </t>
  </si>
  <si>
    <t>Mebendazole sirop</t>
  </si>
  <si>
    <t>Restriva inj</t>
  </si>
  <si>
    <t>Méthyldopa 250mg  cp</t>
  </si>
  <si>
    <t>Métoclopramide 10mg cp</t>
  </si>
  <si>
    <t>Métoclopramide 10mg inj</t>
  </si>
  <si>
    <t>Métronidazole inj</t>
  </si>
  <si>
    <t>Métronidazole sirop</t>
  </si>
  <si>
    <t xml:space="preserve">Métronidazole cp </t>
  </si>
  <si>
    <t>Métronidazole vaginal</t>
  </si>
  <si>
    <t>Sérum salé inj</t>
  </si>
  <si>
    <t>Multivitamine sirop</t>
  </si>
  <si>
    <t>Multivitamine cp</t>
  </si>
  <si>
    <t xml:space="preserve">Noscaoine cp </t>
  </si>
  <si>
    <t>Nystatine cp</t>
  </si>
  <si>
    <t>Ocytocine inj</t>
  </si>
  <si>
    <t xml:space="preserve">Orasel zinc sachets </t>
  </si>
  <si>
    <t>Paracétamol 125 ml sirop</t>
  </si>
  <si>
    <t>Paracétamol inj 1g</t>
  </si>
  <si>
    <t>Paracétamol 500mg</t>
  </si>
  <si>
    <t>Perfuseur</t>
  </si>
  <si>
    <t>Phénobarbital cp</t>
  </si>
  <si>
    <t>Péni V cp</t>
  </si>
  <si>
    <t xml:space="preserve">Potassium chlorure inj </t>
  </si>
  <si>
    <t>Prométhazine cp 25mg</t>
  </si>
  <si>
    <t>Quinine 600mg inj</t>
  </si>
  <si>
    <t>Seringue 10cc</t>
  </si>
  <si>
    <t>Seringue 5cc</t>
  </si>
  <si>
    <t>Vitamine B/c inj 10ml</t>
  </si>
  <si>
    <t>Fifer sirop</t>
  </si>
  <si>
    <t>Vitamine K1 inj</t>
  </si>
  <si>
    <t>Gant latex</t>
  </si>
  <si>
    <t>Coton</t>
  </si>
  <si>
    <t>Sparadrap</t>
  </si>
  <si>
    <t>Clamp bébé</t>
  </si>
  <si>
    <t>Compresse</t>
  </si>
  <si>
    <t>TBG</t>
  </si>
  <si>
    <t>UPSA C vit</t>
  </si>
  <si>
    <t>Cétamyl eff</t>
  </si>
  <si>
    <t>Panadol sirop</t>
  </si>
  <si>
    <t>T-Fer sirop</t>
  </si>
  <si>
    <t>Fluomizin cp</t>
  </si>
  <si>
    <t>Artesunate inj 30mg</t>
  </si>
  <si>
    <t>Artesunate inj 60mg</t>
  </si>
  <si>
    <t>Parol sirop</t>
  </si>
  <si>
    <t>Sékrol sirop</t>
  </si>
  <si>
    <t>Litacold sirop</t>
  </si>
  <si>
    <t>Litacold cp</t>
  </si>
  <si>
    <t xml:space="preserve">Spasfon cp </t>
  </si>
  <si>
    <t>Spasfon inj</t>
  </si>
  <si>
    <t>Miso cp</t>
  </si>
  <si>
    <t>TDR</t>
  </si>
  <si>
    <t>Hémafer sirop</t>
  </si>
  <si>
    <t>Hémafer inj</t>
  </si>
  <si>
    <t>Amifer sirop</t>
  </si>
  <si>
    <t>Plasmocure 60ml</t>
  </si>
  <si>
    <t xml:space="preserve">    Service</t>
  </si>
  <si>
    <t>cons et medica</t>
  </si>
  <si>
    <t xml:space="preserve">Fer sirop </t>
  </si>
  <si>
    <t>Cétamyl eff para eff</t>
  </si>
  <si>
    <t>Potassium permagannate</t>
  </si>
  <si>
    <t xml:space="preserve">Sulfate de magnésium inj </t>
  </si>
  <si>
    <t>Sérum antitétanique</t>
  </si>
  <si>
    <t>SP</t>
  </si>
  <si>
    <t>Kit DUO</t>
  </si>
  <si>
    <t xml:space="preserve">MIILD 2 places </t>
  </si>
  <si>
    <t>Plasmocure 90ml</t>
  </si>
  <si>
    <t>250/05/26</t>
  </si>
  <si>
    <t>TOTAL DU MOIS</t>
  </si>
  <si>
    <t>sold avril</t>
  </si>
  <si>
    <t>Spasmotroy cp</t>
  </si>
  <si>
    <t>Prix de vente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</si>
</sst>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14" fontId="0" fillId="0" borderId="0" xfId="0" applyNumberFormat="1"/>
    <xf numFmtId="17" fontId="0" fillId="0" borderId="0" xfId="0" applyNumberForma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4" sqref="B4"/>
    </sheetView>
  </sheetViews>
  <sheetFormatPr baseColWidth="10" defaultColWidth="9.1796875" defaultRowHeight="14.5" x14ac:dyDescent="0.35"/>
  <cols>
    <col min="1" max="1" width="23" customWidth="1"/>
    <col min="2" max="2" width="4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f>SUM('Caisse Journalière'!C2:C1000)</f>
        <v>5061485</v>
      </c>
    </row>
    <row r="3" spans="1:2" x14ac:dyDescent="0.35">
      <c r="A3" t="s">
        <v>3</v>
      </c>
      <c r="B3">
        <f>SUM('Caisse Journalière'!D2:D1000)</f>
        <v>5009240</v>
      </c>
    </row>
    <row r="4" spans="1:2" x14ac:dyDescent="0.35">
      <c r="A4" t="s">
        <v>4</v>
      </c>
      <c r="B4">
        <f>B2-B3</f>
        <v>52245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0"/>
  <sheetViews>
    <sheetView tabSelected="1" workbookViewId="0">
      <selection activeCell="A86" sqref="A86:XFD86"/>
    </sheetView>
  </sheetViews>
  <sheetFormatPr baseColWidth="10" defaultColWidth="9.1796875" defaultRowHeight="14.5" x14ac:dyDescent="0.35"/>
  <cols>
    <col min="1" max="1" width="9" customWidth="1"/>
    <col min="2" max="2" width="32.7265625" customWidth="1"/>
    <col min="3" max="3" width="17" style="10" customWidth="1"/>
    <col min="4" max="4" width="16.54296875" style="10" customWidth="1"/>
  </cols>
  <sheetData>
    <row r="1" spans="1:4" x14ac:dyDescent="0.35">
      <c r="A1" s="1" t="s">
        <v>5</v>
      </c>
      <c r="B1" s="6" t="s">
        <v>6</v>
      </c>
      <c r="C1" s="8" t="s">
        <v>7</v>
      </c>
      <c r="D1" s="8" t="s">
        <v>139</v>
      </c>
    </row>
    <row r="2" spans="1:4" x14ac:dyDescent="0.35">
      <c r="B2" s="7" t="s">
        <v>23</v>
      </c>
      <c r="C2" s="9">
        <v>6000</v>
      </c>
      <c r="D2" s="9">
        <v>60</v>
      </c>
    </row>
    <row r="3" spans="1:4" x14ac:dyDescent="0.35">
      <c r="B3" s="7" t="s">
        <v>24</v>
      </c>
      <c r="C3" s="9">
        <v>44</v>
      </c>
      <c r="D3" s="9">
        <v>850</v>
      </c>
    </row>
    <row r="4" spans="1:4" x14ac:dyDescent="0.35">
      <c r="B4" s="7" t="s">
        <v>25</v>
      </c>
      <c r="C4" s="9">
        <v>36</v>
      </c>
      <c r="D4" s="9">
        <v>700</v>
      </c>
    </row>
    <row r="5" spans="1:4" x14ac:dyDescent="0.35">
      <c r="B5" s="7" t="s">
        <v>28</v>
      </c>
      <c r="C5" s="9">
        <v>450</v>
      </c>
      <c r="D5" s="9">
        <v>300</v>
      </c>
    </row>
    <row r="6" spans="1:4" x14ac:dyDescent="0.35">
      <c r="B6" s="7" t="s">
        <v>29</v>
      </c>
      <c r="C6" s="9">
        <v>50</v>
      </c>
      <c r="D6" s="9">
        <v>250</v>
      </c>
    </row>
    <row r="7" spans="1:4" x14ac:dyDescent="0.35">
      <c r="B7" s="7" t="s">
        <v>26</v>
      </c>
      <c r="C7" s="9">
        <v>2000</v>
      </c>
      <c r="D7" s="9">
        <v>100</v>
      </c>
    </row>
    <row r="8" spans="1:4" x14ac:dyDescent="0.35">
      <c r="B8" s="7" t="s">
        <v>27</v>
      </c>
      <c r="C8" s="9">
        <v>50</v>
      </c>
      <c r="D8" s="9">
        <v>200</v>
      </c>
    </row>
    <row r="9" spans="1:4" x14ac:dyDescent="0.35">
      <c r="B9" s="7" t="s">
        <v>30</v>
      </c>
      <c r="C9" s="9">
        <v>500</v>
      </c>
      <c r="D9" s="9">
        <v>20</v>
      </c>
    </row>
    <row r="10" spans="1:4" x14ac:dyDescent="0.35">
      <c r="B10" s="7" t="s">
        <v>31</v>
      </c>
      <c r="C10" s="9">
        <v>0</v>
      </c>
      <c r="D10" s="9">
        <v>600</v>
      </c>
    </row>
    <row r="11" spans="1:4" x14ac:dyDescent="0.35">
      <c r="B11" s="7" t="s">
        <v>32</v>
      </c>
      <c r="C11" s="9">
        <v>0</v>
      </c>
      <c r="D11" s="9">
        <v>1500</v>
      </c>
    </row>
    <row r="12" spans="1:4" x14ac:dyDescent="0.35">
      <c r="B12" s="7" t="s">
        <v>33</v>
      </c>
      <c r="C12" s="9">
        <v>0</v>
      </c>
      <c r="D12" s="9">
        <v>70</v>
      </c>
    </row>
    <row r="13" spans="1:4" x14ac:dyDescent="0.35">
      <c r="B13" s="7" t="s">
        <v>34</v>
      </c>
      <c r="C13" s="9">
        <v>50</v>
      </c>
      <c r="D13" s="9">
        <v>300</v>
      </c>
    </row>
    <row r="14" spans="1:4" x14ac:dyDescent="0.35">
      <c r="B14" s="7" t="s">
        <v>35</v>
      </c>
      <c r="C14" s="9">
        <v>0</v>
      </c>
      <c r="D14" s="9">
        <v>650</v>
      </c>
    </row>
    <row r="15" spans="1:4" x14ac:dyDescent="0.35">
      <c r="B15" s="7" t="s">
        <v>36</v>
      </c>
      <c r="C15" s="9">
        <v>350</v>
      </c>
      <c r="D15" s="9">
        <v>150</v>
      </c>
    </row>
    <row r="16" spans="1:4" x14ac:dyDescent="0.35">
      <c r="B16" s="7" t="s">
        <v>37</v>
      </c>
      <c r="C16" s="9">
        <v>600</v>
      </c>
      <c r="D16" s="9">
        <v>150</v>
      </c>
    </row>
    <row r="17" spans="2:4" x14ac:dyDescent="0.35">
      <c r="B17" s="7" t="s">
        <v>38</v>
      </c>
      <c r="C17" s="9">
        <v>400</v>
      </c>
      <c r="D17" s="9">
        <v>500</v>
      </c>
    </row>
    <row r="18" spans="2:4" x14ac:dyDescent="0.35">
      <c r="B18" s="7" t="s">
        <v>39</v>
      </c>
      <c r="C18" s="9">
        <v>0</v>
      </c>
      <c r="D18" s="9">
        <v>350</v>
      </c>
    </row>
    <row r="19" spans="2:4" x14ac:dyDescent="0.35">
      <c r="B19" s="7" t="s">
        <v>40</v>
      </c>
      <c r="C19" s="9">
        <v>50</v>
      </c>
      <c r="D19" s="9">
        <v>350</v>
      </c>
    </row>
    <row r="20" spans="2:4" x14ac:dyDescent="0.35">
      <c r="B20" s="7" t="s">
        <v>41</v>
      </c>
      <c r="C20" s="9">
        <v>0</v>
      </c>
      <c r="D20" s="9">
        <v>350</v>
      </c>
    </row>
    <row r="21" spans="2:4" x14ac:dyDescent="0.35">
      <c r="B21" s="7" t="s">
        <v>42</v>
      </c>
      <c r="C21" s="9">
        <v>0</v>
      </c>
      <c r="D21" s="9">
        <v>350</v>
      </c>
    </row>
    <row r="22" spans="2:4" x14ac:dyDescent="0.35">
      <c r="B22" s="7" t="s">
        <v>43</v>
      </c>
      <c r="C22" s="9">
        <v>70</v>
      </c>
      <c r="D22" s="9">
        <v>1000</v>
      </c>
    </row>
    <row r="23" spans="2:4" x14ac:dyDescent="0.35">
      <c r="B23" s="7" t="s">
        <v>44</v>
      </c>
      <c r="C23" s="9">
        <v>15</v>
      </c>
      <c r="D23" s="9">
        <v>850</v>
      </c>
    </row>
    <row r="24" spans="2:4" x14ac:dyDescent="0.35">
      <c r="B24" s="7" t="s">
        <v>45</v>
      </c>
      <c r="C24" s="9">
        <v>500</v>
      </c>
      <c r="D24" s="9">
        <v>70</v>
      </c>
    </row>
    <row r="25" spans="2:4" x14ac:dyDescent="0.35">
      <c r="B25" s="7" t="s">
        <v>46</v>
      </c>
      <c r="C25" s="9">
        <v>900</v>
      </c>
      <c r="D25" s="9">
        <v>50</v>
      </c>
    </row>
    <row r="26" spans="2:4" x14ac:dyDescent="0.35">
      <c r="B26" s="7" t="s">
        <v>47</v>
      </c>
      <c r="C26" s="9">
        <v>0</v>
      </c>
      <c r="D26" s="9">
        <v>200</v>
      </c>
    </row>
    <row r="27" spans="2:4" x14ac:dyDescent="0.35">
      <c r="B27" s="7" t="s">
        <v>48</v>
      </c>
      <c r="C27" s="9">
        <v>60</v>
      </c>
      <c r="D27" s="9">
        <v>400</v>
      </c>
    </row>
    <row r="28" spans="2:4" x14ac:dyDescent="0.35">
      <c r="B28" s="7" t="s">
        <v>49</v>
      </c>
      <c r="C28" s="9">
        <v>0</v>
      </c>
      <c r="D28" s="9">
        <v>500</v>
      </c>
    </row>
    <row r="29" spans="2:4" x14ac:dyDescent="0.35">
      <c r="B29" s="7" t="s">
        <v>50</v>
      </c>
      <c r="C29" s="9">
        <v>60</v>
      </c>
      <c r="D29" s="9">
        <v>700</v>
      </c>
    </row>
    <row r="30" spans="2:4" x14ac:dyDescent="0.35">
      <c r="B30" s="7" t="s">
        <v>51</v>
      </c>
      <c r="C30" s="9">
        <v>70</v>
      </c>
      <c r="D30" s="9">
        <v>950</v>
      </c>
    </row>
    <row r="31" spans="2:4" x14ac:dyDescent="0.35">
      <c r="B31" s="7" t="s">
        <v>52</v>
      </c>
      <c r="C31" s="9">
        <v>500</v>
      </c>
      <c r="D31" s="9">
        <v>35</v>
      </c>
    </row>
    <row r="32" spans="2:4" x14ac:dyDescent="0.35">
      <c r="B32" s="7" t="s">
        <v>53</v>
      </c>
      <c r="C32" s="9">
        <v>300</v>
      </c>
      <c r="D32" s="9">
        <v>15</v>
      </c>
    </row>
    <row r="33" spans="2:4" x14ac:dyDescent="0.35">
      <c r="B33" s="7" t="s">
        <v>54</v>
      </c>
      <c r="C33" s="9">
        <v>20</v>
      </c>
      <c r="D33" s="9">
        <v>300</v>
      </c>
    </row>
    <row r="34" spans="2:4" x14ac:dyDescent="0.35">
      <c r="B34" s="7" t="s">
        <v>55</v>
      </c>
      <c r="C34" s="9">
        <v>0</v>
      </c>
      <c r="D34" s="9">
        <v>20</v>
      </c>
    </row>
    <row r="35" spans="2:4" x14ac:dyDescent="0.35">
      <c r="B35" s="7" t="s">
        <v>56</v>
      </c>
      <c r="C35" s="9">
        <v>0</v>
      </c>
      <c r="D35" s="9">
        <v>500</v>
      </c>
    </row>
    <row r="36" spans="2:4" x14ac:dyDescent="0.35">
      <c r="B36" s="7" t="s">
        <v>57</v>
      </c>
      <c r="C36" s="9">
        <v>0</v>
      </c>
      <c r="D36" s="9">
        <v>800</v>
      </c>
    </row>
    <row r="37" spans="2:4" x14ac:dyDescent="0.35">
      <c r="B37" s="7" t="s">
        <v>58</v>
      </c>
      <c r="C37" s="9">
        <v>5000</v>
      </c>
      <c r="D37" s="9">
        <v>10</v>
      </c>
    </row>
    <row r="38" spans="2:4" x14ac:dyDescent="0.35">
      <c r="B38" s="7" t="s">
        <v>59</v>
      </c>
      <c r="C38" s="9">
        <v>6000</v>
      </c>
      <c r="D38" s="9">
        <v>10</v>
      </c>
    </row>
    <row r="39" spans="2:4" x14ac:dyDescent="0.35">
      <c r="B39" s="7" t="s">
        <v>60</v>
      </c>
      <c r="C39" s="9">
        <v>0</v>
      </c>
      <c r="D39" s="9">
        <v>3000</v>
      </c>
    </row>
    <row r="40" spans="2:4" x14ac:dyDescent="0.35">
      <c r="B40" s="7" t="s">
        <v>61</v>
      </c>
      <c r="C40" s="9">
        <v>200</v>
      </c>
      <c r="D40" s="9">
        <v>300</v>
      </c>
    </row>
    <row r="41" spans="2:4" x14ac:dyDescent="0.35">
      <c r="B41" s="7" t="s">
        <v>62</v>
      </c>
      <c r="C41" s="9">
        <v>0</v>
      </c>
      <c r="D41" s="9">
        <v>1000</v>
      </c>
    </row>
    <row r="42" spans="2:4" x14ac:dyDescent="0.35">
      <c r="B42" s="7" t="s">
        <v>63</v>
      </c>
      <c r="C42" s="9">
        <v>0</v>
      </c>
      <c r="D42" s="9">
        <v>700</v>
      </c>
    </row>
    <row r="43" spans="2:4" x14ac:dyDescent="0.35">
      <c r="B43" s="7" t="s">
        <v>64</v>
      </c>
      <c r="C43" s="9">
        <v>5</v>
      </c>
      <c r="D43" s="9">
        <v>450</v>
      </c>
    </row>
    <row r="44" spans="2:4" x14ac:dyDescent="0.35">
      <c r="B44" s="7" t="s">
        <v>65</v>
      </c>
      <c r="C44" s="9">
        <v>30</v>
      </c>
      <c r="D44" s="9">
        <v>700</v>
      </c>
    </row>
    <row r="45" spans="2:4" x14ac:dyDescent="0.35">
      <c r="B45" s="7" t="s">
        <v>66</v>
      </c>
      <c r="C45" s="9">
        <v>800</v>
      </c>
      <c r="D45" s="9">
        <v>20</v>
      </c>
    </row>
    <row r="46" spans="2:4" x14ac:dyDescent="0.35">
      <c r="B46" s="7" t="s">
        <v>67</v>
      </c>
      <c r="C46" s="9">
        <v>30</v>
      </c>
      <c r="D46" s="9">
        <v>700</v>
      </c>
    </row>
    <row r="47" spans="2:4" x14ac:dyDescent="0.35">
      <c r="B47" s="7" t="s">
        <v>68</v>
      </c>
      <c r="C47" s="9">
        <v>3000</v>
      </c>
      <c r="D47" s="9">
        <v>25</v>
      </c>
    </row>
    <row r="48" spans="2:4" x14ac:dyDescent="0.35">
      <c r="B48" s="7" t="s">
        <v>69</v>
      </c>
      <c r="C48" s="9">
        <v>30</v>
      </c>
      <c r="D48" s="9">
        <v>700</v>
      </c>
    </row>
    <row r="49" spans="2:4" x14ac:dyDescent="0.35">
      <c r="B49" s="7" t="s">
        <v>70</v>
      </c>
      <c r="C49" s="9">
        <v>0</v>
      </c>
      <c r="D49" s="9">
        <v>500</v>
      </c>
    </row>
    <row r="50" spans="2:4" x14ac:dyDescent="0.35">
      <c r="B50" s="7" t="s">
        <v>71</v>
      </c>
      <c r="C50" s="9">
        <v>300</v>
      </c>
      <c r="D50" s="9">
        <v>35</v>
      </c>
    </row>
    <row r="51" spans="2:4" x14ac:dyDescent="0.35">
      <c r="B51" s="7" t="s">
        <v>72</v>
      </c>
      <c r="C51" s="9">
        <v>0</v>
      </c>
      <c r="D51" s="9">
        <v>15</v>
      </c>
    </row>
    <row r="52" spans="2:4" x14ac:dyDescent="0.35">
      <c r="B52" s="7" t="s">
        <v>73</v>
      </c>
      <c r="C52" s="9">
        <v>0</v>
      </c>
      <c r="D52" s="9">
        <v>200</v>
      </c>
    </row>
    <row r="53" spans="2:4" x14ac:dyDescent="0.35">
      <c r="B53" s="7" t="s">
        <v>74</v>
      </c>
      <c r="C53" s="9">
        <v>30</v>
      </c>
      <c r="D53" s="9">
        <v>850</v>
      </c>
    </row>
    <row r="54" spans="2:4" x14ac:dyDescent="0.35">
      <c r="B54" s="7" t="s">
        <v>75</v>
      </c>
      <c r="C54" s="9">
        <v>26</v>
      </c>
      <c r="D54" s="9">
        <v>950</v>
      </c>
    </row>
    <row r="55" spans="2:4" x14ac:dyDescent="0.35">
      <c r="B55" s="7" t="s">
        <v>76</v>
      </c>
      <c r="C55" s="9">
        <v>4000</v>
      </c>
      <c r="D55" s="9">
        <v>20</v>
      </c>
    </row>
    <row r="56" spans="2:4" x14ac:dyDescent="0.35">
      <c r="B56" s="7" t="s">
        <v>77</v>
      </c>
      <c r="C56" s="9">
        <v>0</v>
      </c>
      <c r="D56" s="9">
        <v>800</v>
      </c>
    </row>
    <row r="57" spans="2:4" x14ac:dyDescent="0.35">
      <c r="B57" s="7" t="s">
        <v>78</v>
      </c>
      <c r="C57" s="9">
        <v>38</v>
      </c>
      <c r="D57" s="9">
        <v>700</v>
      </c>
    </row>
    <row r="58" spans="2:4" x14ac:dyDescent="0.35">
      <c r="B58" s="7" t="s">
        <v>79</v>
      </c>
      <c r="C58" s="9">
        <v>0</v>
      </c>
      <c r="D58" s="9">
        <v>700</v>
      </c>
    </row>
    <row r="59" spans="2:4" x14ac:dyDescent="0.35">
      <c r="B59" s="7" t="s">
        <v>80</v>
      </c>
      <c r="C59" s="9">
        <v>1000</v>
      </c>
      <c r="D59" s="9">
        <v>15</v>
      </c>
    </row>
    <row r="60" spans="2:4" x14ac:dyDescent="0.35">
      <c r="B60" s="7" t="s">
        <v>81</v>
      </c>
      <c r="C60" s="9">
        <v>1000</v>
      </c>
      <c r="D60" s="9">
        <v>50</v>
      </c>
    </row>
    <row r="61" spans="2:4" x14ac:dyDescent="0.35">
      <c r="B61" s="7" t="s">
        <v>82</v>
      </c>
      <c r="C61" s="9">
        <v>0</v>
      </c>
      <c r="D61" s="9">
        <v>50</v>
      </c>
    </row>
    <row r="62" spans="2:4" x14ac:dyDescent="0.35">
      <c r="B62" s="7" t="s">
        <v>83</v>
      </c>
      <c r="C62" s="9">
        <v>40</v>
      </c>
      <c r="D62" s="9">
        <v>300</v>
      </c>
    </row>
    <row r="63" spans="2:4" x14ac:dyDescent="0.35">
      <c r="B63" s="7" t="s">
        <v>84</v>
      </c>
      <c r="C63" s="9">
        <v>21</v>
      </c>
      <c r="D63" s="9">
        <v>300</v>
      </c>
    </row>
    <row r="64" spans="2:4" x14ac:dyDescent="0.35">
      <c r="B64" s="7" t="s">
        <v>85</v>
      </c>
      <c r="C64" s="9">
        <v>86</v>
      </c>
      <c r="D64" s="9">
        <v>600</v>
      </c>
    </row>
    <row r="65" spans="2:4" x14ac:dyDescent="0.35">
      <c r="B65" s="7" t="s">
        <v>86</v>
      </c>
      <c r="C65" s="9">
        <v>0</v>
      </c>
      <c r="D65" s="9">
        <v>2000</v>
      </c>
    </row>
    <row r="66" spans="2:4" x14ac:dyDescent="0.35">
      <c r="B66" s="7" t="s">
        <v>87</v>
      </c>
      <c r="C66" s="9">
        <v>8000</v>
      </c>
      <c r="D66" s="9">
        <v>15</v>
      </c>
    </row>
    <row r="67" spans="2:4" x14ac:dyDescent="0.35">
      <c r="B67" s="7" t="s">
        <v>88</v>
      </c>
      <c r="C67" s="9">
        <v>325</v>
      </c>
      <c r="D67" s="9">
        <v>250</v>
      </c>
    </row>
    <row r="68" spans="2:4" x14ac:dyDescent="0.35">
      <c r="B68" s="7" t="s">
        <v>89</v>
      </c>
      <c r="C68" s="9">
        <v>0</v>
      </c>
      <c r="D68" s="9">
        <v>30</v>
      </c>
    </row>
    <row r="69" spans="2:4" x14ac:dyDescent="0.35">
      <c r="B69" s="7" t="s">
        <v>90</v>
      </c>
      <c r="C69" s="9">
        <v>0</v>
      </c>
      <c r="D69" s="9">
        <v>50</v>
      </c>
    </row>
    <row r="70" spans="2:4" x14ac:dyDescent="0.35">
      <c r="B70" s="7" t="s">
        <v>91</v>
      </c>
      <c r="C70" s="9">
        <v>0</v>
      </c>
      <c r="D70" s="9">
        <v>300</v>
      </c>
    </row>
    <row r="71" spans="2:4" x14ac:dyDescent="0.35">
      <c r="B71" s="7" t="s">
        <v>92</v>
      </c>
      <c r="C71" s="9">
        <v>0</v>
      </c>
      <c r="D71" s="9">
        <v>15</v>
      </c>
    </row>
    <row r="72" spans="2:4" x14ac:dyDescent="0.35">
      <c r="B72" s="7" t="s">
        <v>93</v>
      </c>
      <c r="C72" s="9">
        <v>0</v>
      </c>
      <c r="D72" s="9">
        <v>300</v>
      </c>
    </row>
    <row r="73" spans="2:4" x14ac:dyDescent="0.35">
      <c r="B73" s="7" t="s">
        <v>94</v>
      </c>
      <c r="C73" s="9">
        <v>900</v>
      </c>
      <c r="D73" s="9">
        <v>150</v>
      </c>
    </row>
    <row r="74" spans="2:4" x14ac:dyDescent="0.35">
      <c r="B74" s="7" t="s">
        <v>95</v>
      </c>
      <c r="C74" s="9">
        <v>500</v>
      </c>
      <c r="D74" s="9">
        <v>100</v>
      </c>
    </row>
    <row r="75" spans="2:4" x14ac:dyDescent="0.35">
      <c r="B75" s="7" t="s">
        <v>96</v>
      </c>
      <c r="C75" s="9">
        <v>200</v>
      </c>
      <c r="D75" s="9">
        <v>300</v>
      </c>
    </row>
    <row r="76" spans="2:4" x14ac:dyDescent="0.35">
      <c r="B76" s="7" t="s">
        <v>97</v>
      </c>
      <c r="C76" s="9">
        <v>0</v>
      </c>
      <c r="D76" s="9">
        <v>2000</v>
      </c>
    </row>
    <row r="77" spans="2:4" x14ac:dyDescent="0.35">
      <c r="B77" s="7" t="s">
        <v>98</v>
      </c>
      <c r="C77" s="9">
        <v>0</v>
      </c>
      <c r="D77" s="9">
        <v>750</v>
      </c>
    </row>
    <row r="78" spans="2:4" x14ac:dyDescent="0.35">
      <c r="B78" s="7" t="s">
        <v>99</v>
      </c>
      <c r="C78" s="9">
        <v>38</v>
      </c>
      <c r="D78" s="9"/>
    </row>
    <row r="79" spans="2:4" x14ac:dyDescent="0.35">
      <c r="B79" s="7" t="s">
        <v>100</v>
      </c>
      <c r="C79" s="9">
        <v>5</v>
      </c>
      <c r="D79" s="9"/>
    </row>
    <row r="80" spans="2:4" x14ac:dyDescent="0.35">
      <c r="B80" s="7" t="s">
        <v>101</v>
      </c>
      <c r="C80" s="9">
        <v>4</v>
      </c>
      <c r="D80" s="9"/>
    </row>
    <row r="81" spans="2:4" x14ac:dyDescent="0.35">
      <c r="B81" s="7" t="s">
        <v>102</v>
      </c>
      <c r="C81" s="9">
        <v>0</v>
      </c>
      <c r="D81" s="9">
        <v>150</v>
      </c>
    </row>
    <row r="82" spans="2:4" x14ac:dyDescent="0.35">
      <c r="B82" s="7" t="s">
        <v>103</v>
      </c>
      <c r="C82" s="9">
        <v>0</v>
      </c>
      <c r="D82" s="9">
        <v>150</v>
      </c>
    </row>
    <row r="83" spans="2:4" x14ac:dyDescent="0.35">
      <c r="B83" s="7" t="s">
        <v>104</v>
      </c>
      <c r="C83" s="9">
        <v>100</v>
      </c>
      <c r="D83" s="9">
        <v>1000</v>
      </c>
    </row>
    <row r="84" spans="2:4" x14ac:dyDescent="0.35">
      <c r="B84" s="7" t="s">
        <v>105</v>
      </c>
      <c r="C84" s="9">
        <v>50</v>
      </c>
      <c r="D84" s="9">
        <v>1200</v>
      </c>
    </row>
    <row r="85" spans="2:4" x14ac:dyDescent="0.35">
      <c r="B85" s="7" t="s">
        <v>127</v>
      </c>
      <c r="C85" s="9">
        <v>50</v>
      </c>
      <c r="D85" s="9">
        <v>1000</v>
      </c>
    </row>
    <row r="86" spans="2:4" x14ac:dyDescent="0.35">
      <c r="B86" s="7" t="s">
        <v>107</v>
      </c>
      <c r="C86" s="9">
        <v>30</v>
      </c>
      <c r="D86" s="9">
        <v>1200</v>
      </c>
    </row>
    <row r="87" spans="2:4" x14ac:dyDescent="0.35">
      <c r="B87" s="7" t="s">
        <v>108</v>
      </c>
      <c r="C87" s="9"/>
      <c r="D87" s="9">
        <v>2000</v>
      </c>
    </row>
    <row r="88" spans="2:4" x14ac:dyDescent="0.35">
      <c r="B88" s="7" t="s">
        <v>109</v>
      </c>
      <c r="C88" s="9">
        <v>20</v>
      </c>
      <c r="D88" s="9">
        <v>3500</v>
      </c>
    </row>
    <row r="89" spans="2:4" x14ac:dyDescent="0.35">
      <c r="B89" s="7" t="s">
        <v>110</v>
      </c>
      <c r="C89" s="9">
        <v>20</v>
      </c>
      <c r="D89" s="9">
        <v>1500</v>
      </c>
    </row>
    <row r="90" spans="2:4" x14ac:dyDescent="0.35">
      <c r="B90" s="7" t="s">
        <v>111</v>
      </c>
      <c r="C90" s="9">
        <v>40</v>
      </c>
      <c r="D90" s="9">
        <v>2000</v>
      </c>
    </row>
    <row r="91" spans="2:4" x14ac:dyDescent="0.35">
      <c r="B91" s="7" t="s">
        <v>112</v>
      </c>
      <c r="C91" s="9">
        <v>0</v>
      </c>
      <c r="D91" s="9">
        <v>1500</v>
      </c>
    </row>
    <row r="92" spans="2:4" x14ac:dyDescent="0.35">
      <c r="B92" s="7" t="s">
        <v>113</v>
      </c>
      <c r="C92" s="9">
        <v>18</v>
      </c>
      <c r="D92" s="9">
        <v>2000</v>
      </c>
    </row>
    <row r="93" spans="2:4" x14ac:dyDescent="0.35">
      <c r="B93" s="7" t="s">
        <v>114</v>
      </c>
      <c r="C93" s="9"/>
      <c r="D93" s="9">
        <v>1300</v>
      </c>
    </row>
    <row r="94" spans="2:4" x14ac:dyDescent="0.35">
      <c r="B94" s="7" t="s">
        <v>115</v>
      </c>
      <c r="C94" s="9">
        <v>20</v>
      </c>
      <c r="D94" s="9">
        <v>300</v>
      </c>
    </row>
    <row r="95" spans="2:4" x14ac:dyDescent="0.35">
      <c r="B95" s="7" t="s">
        <v>138</v>
      </c>
      <c r="C95" s="9"/>
      <c r="D95" s="9">
        <v>2700</v>
      </c>
    </row>
    <row r="96" spans="2:4" x14ac:dyDescent="0.35">
      <c r="B96" s="7" t="s">
        <v>117</v>
      </c>
      <c r="C96" s="9">
        <v>189</v>
      </c>
      <c r="D96" s="9">
        <v>1000</v>
      </c>
    </row>
    <row r="97" spans="2:4" x14ac:dyDescent="0.35">
      <c r="B97" s="7" t="s">
        <v>118</v>
      </c>
      <c r="C97" s="9">
        <v>30</v>
      </c>
      <c r="D97" s="9">
        <v>1000</v>
      </c>
    </row>
    <row r="98" spans="2:4" x14ac:dyDescent="0.35">
      <c r="B98" s="7" t="s">
        <v>119</v>
      </c>
      <c r="C98" s="9">
        <v>350</v>
      </c>
      <c r="D98" s="9">
        <v>0</v>
      </c>
    </row>
    <row r="99" spans="2:4" x14ac:dyDescent="0.35">
      <c r="B99" s="7" t="s">
        <v>120</v>
      </c>
      <c r="C99" s="9">
        <v>29</v>
      </c>
      <c r="D99" s="9">
        <v>3200</v>
      </c>
    </row>
    <row r="100" spans="2:4" x14ac:dyDescent="0.35">
      <c r="B100" s="7" t="s">
        <v>121</v>
      </c>
      <c r="C100" s="9">
        <v>33</v>
      </c>
      <c r="D100" s="9">
        <v>3000</v>
      </c>
    </row>
    <row r="101" spans="2:4" x14ac:dyDescent="0.35">
      <c r="B101" s="7" t="s">
        <v>122</v>
      </c>
      <c r="C101" s="9">
        <v>18</v>
      </c>
      <c r="D101" s="9">
        <v>3500</v>
      </c>
    </row>
    <row r="102" spans="2:4" x14ac:dyDescent="0.35">
      <c r="B102" s="7" t="s">
        <v>123</v>
      </c>
      <c r="C102" s="9">
        <v>2</v>
      </c>
      <c r="D102" s="9">
        <v>2500</v>
      </c>
    </row>
    <row r="103" spans="2:4" x14ac:dyDescent="0.35">
      <c r="B103" s="7" t="s">
        <v>134</v>
      </c>
      <c r="C103" s="9">
        <v>3</v>
      </c>
      <c r="D103" s="9">
        <v>3000</v>
      </c>
    </row>
    <row r="104" spans="2:4" x14ac:dyDescent="0.35">
      <c r="B104" s="7" t="s">
        <v>126</v>
      </c>
      <c r="C104" s="9">
        <v>30</v>
      </c>
      <c r="D104" s="9">
        <v>600</v>
      </c>
    </row>
    <row r="105" spans="2:4" x14ac:dyDescent="0.35">
      <c r="B105" s="7" t="s">
        <v>128</v>
      </c>
      <c r="C105" s="9">
        <v>200</v>
      </c>
      <c r="D105" s="9">
        <v>100</v>
      </c>
    </row>
    <row r="106" spans="2:4" x14ac:dyDescent="0.35">
      <c r="B106" s="7" t="s">
        <v>129</v>
      </c>
      <c r="C106" s="9">
        <v>0</v>
      </c>
      <c r="D106" s="9">
        <v>300</v>
      </c>
    </row>
    <row r="107" spans="2:4" x14ac:dyDescent="0.35">
      <c r="B107" s="7" t="s">
        <v>130</v>
      </c>
      <c r="C107" s="9">
        <v>0</v>
      </c>
      <c r="D107" s="9">
        <v>1500</v>
      </c>
    </row>
    <row r="108" spans="2:4" x14ac:dyDescent="0.35">
      <c r="B108" s="7" t="s">
        <v>131</v>
      </c>
      <c r="C108" s="9">
        <v>50</v>
      </c>
      <c r="D108" s="9">
        <v>0</v>
      </c>
    </row>
    <row r="109" spans="2:4" x14ac:dyDescent="0.35">
      <c r="B109" s="7" t="s">
        <v>132</v>
      </c>
      <c r="C109" s="9">
        <v>75</v>
      </c>
      <c r="D109" s="9">
        <v>0</v>
      </c>
    </row>
    <row r="110" spans="2:4" x14ac:dyDescent="0.35">
      <c r="B110" s="7" t="s">
        <v>133</v>
      </c>
      <c r="C110" s="9">
        <v>450</v>
      </c>
      <c r="D110" s="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workbookViewId="0">
      <selection activeCell="B1" sqref="B1:E1"/>
    </sheetView>
  </sheetViews>
  <sheetFormatPr baseColWidth="10" defaultColWidth="9.1796875" defaultRowHeight="14.5" x14ac:dyDescent="0.35"/>
  <cols>
    <col min="1" max="1" width="13.26953125" customWidth="1"/>
    <col min="2" max="2" width="14.453125" customWidth="1"/>
    <col min="3" max="3" width="15.7265625" customWidth="1"/>
    <col min="4" max="4" width="20.81640625" customWidth="1"/>
    <col min="5" max="5" width="17.26953125" customWidth="1"/>
  </cols>
  <sheetData>
    <row r="1" spans="1:5" x14ac:dyDescent="0.35">
      <c r="A1" s="3"/>
      <c r="B1" s="1" t="s">
        <v>124</v>
      </c>
      <c r="C1" s="1" t="s">
        <v>9</v>
      </c>
      <c r="D1" s="1" t="s">
        <v>3</v>
      </c>
      <c r="E1" s="1" t="s">
        <v>10</v>
      </c>
    </row>
    <row r="2" spans="1:5" x14ac:dyDescent="0.35">
      <c r="A2" s="3">
        <v>46143</v>
      </c>
      <c r="B2" t="s">
        <v>125</v>
      </c>
      <c r="C2">
        <v>93450</v>
      </c>
    </row>
    <row r="3" spans="1:5" x14ac:dyDescent="0.35">
      <c r="A3" s="4">
        <v>46144</v>
      </c>
      <c r="B3" t="s">
        <v>125</v>
      </c>
      <c r="C3">
        <v>17500</v>
      </c>
    </row>
    <row r="4" spans="1:5" x14ac:dyDescent="0.35">
      <c r="A4" s="4">
        <v>46145</v>
      </c>
      <c r="B4" t="s">
        <v>125</v>
      </c>
      <c r="C4">
        <v>116150</v>
      </c>
    </row>
    <row r="5" spans="1:5" x14ac:dyDescent="0.35">
      <c r="A5" s="4">
        <v>46146</v>
      </c>
      <c r="B5" t="s">
        <v>125</v>
      </c>
      <c r="C5">
        <v>86350</v>
      </c>
    </row>
    <row r="6" spans="1:5" x14ac:dyDescent="0.35">
      <c r="A6" s="4">
        <v>46147</v>
      </c>
      <c r="B6" t="s">
        <v>125</v>
      </c>
      <c r="C6">
        <v>46350</v>
      </c>
    </row>
    <row r="7" spans="1:5" x14ac:dyDescent="0.35">
      <c r="A7" s="4">
        <v>46148</v>
      </c>
      <c r="B7" t="s">
        <v>125</v>
      </c>
      <c r="C7">
        <v>51500</v>
      </c>
    </row>
    <row r="8" spans="1:5" x14ac:dyDescent="0.35">
      <c r="A8" s="4">
        <v>46149</v>
      </c>
      <c r="B8" t="s">
        <v>125</v>
      </c>
      <c r="C8">
        <v>36850</v>
      </c>
      <c r="D8">
        <v>780000</v>
      </c>
    </row>
    <row r="9" spans="1:5" x14ac:dyDescent="0.35">
      <c r="A9" s="4">
        <v>46150</v>
      </c>
      <c r="B9" t="s">
        <v>125</v>
      </c>
      <c r="C9">
        <v>73950</v>
      </c>
      <c r="D9">
        <v>60000</v>
      </c>
    </row>
    <row r="10" spans="1:5" x14ac:dyDescent="0.35">
      <c r="A10" s="4">
        <v>46151</v>
      </c>
      <c r="B10" t="s">
        <v>125</v>
      </c>
      <c r="C10">
        <v>23550</v>
      </c>
      <c r="D10">
        <v>5700</v>
      </c>
    </row>
    <row r="11" spans="1:5" x14ac:dyDescent="0.35">
      <c r="A11" s="4">
        <v>46152</v>
      </c>
      <c r="B11" t="s">
        <v>125</v>
      </c>
      <c r="C11">
        <v>9100</v>
      </c>
      <c r="D11">
        <v>6500</v>
      </c>
    </row>
    <row r="12" spans="1:5" x14ac:dyDescent="0.35">
      <c r="A12" s="4">
        <v>46153</v>
      </c>
      <c r="B12" t="s">
        <v>125</v>
      </c>
      <c r="C12">
        <v>74550</v>
      </c>
      <c r="D12">
        <v>100000</v>
      </c>
    </row>
    <row r="13" spans="1:5" x14ac:dyDescent="0.35">
      <c r="A13" s="4">
        <v>45789</v>
      </c>
      <c r="B13" t="s">
        <v>125</v>
      </c>
      <c r="C13">
        <v>82750</v>
      </c>
      <c r="D13">
        <v>20000</v>
      </c>
    </row>
    <row r="14" spans="1:5" x14ac:dyDescent="0.35">
      <c r="A14" s="4">
        <v>46155</v>
      </c>
      <c r="B14" t="s">
        <v>125</v>
      </c>
      <c r="C14">
        <v>79050</v>
      </c>
      <c r="D14">
        <v>5000</v>
      </c>
    </row>
    <row r="15" spans="1:5" x14ac:dyDescent="0.35">
      <c r="A15" s="4">
        <v>46156</v>
      </c>
      <c r="B15" t="s">
        <v>125</v>
      </c>
      <c r="C15">
        <v>40850</v>
      </c>
      <c r="D15">
        <v>10000</v>
      </c>
    </row>
    <row r="16" spans="1:5" x14ac:dyDescent="0.35">
      <c r="A16" s="4">
        <v>46157</v>
      </c>
      <c r="B16" t="s">
        <v>125</v>
      </c>
      <c r="C16">
        <v>72350</v>
      </c>
      <c r="D16">
        <v>536950</v>
      </c>
    </row>
    <row r="17" spans="1:4" x14ac:dyDescent="0.35">
      <c r="A17" s="4">
        <v>46158</v>
      </c>
      <c r="B17" t="s">
        <v>125</v>
      </c>
      <c r="C17">
        <v>63500</v>
      </c>
      <c r="D17">
        <v>0</v>
      </c>
    </row>
    <row r="18" spans="1:4" x14ac:dyDescent="0.35">
      <c r="A18" s="4">
        <v>46159</v>
      </c>
      <c r="B18" t="s">
        <v>125</v>
      </c>
      <c r="C18">
        <v>84450</v>
      </c>
      <c r="D18">
        <v>57390</v>
      </c>
    </row>
    <row r="19" spans="1:4" x14ac:dyDescent="0.35">
      <c r="A19" s="4">
        <v>46160</v>
      </c>
      <c r="B19" t="s">
        <v>125</v>
      </c>
      <c r="C19">
        <v>50450</v>
      </c>
      <c r="D19">
        <v>11650</v>
      </c>
    </row>
    <row r="20" spans="1:4" x14ac:dyDescent="0.35">
      <c r="A20" s="4">
        <v>46161</v>
      </c>
      <c r="B20" t="s">
        <v>125</v>
      </c>
      <c r="C20">
        <v>109650</v>
      </c>
      <c r="D20">
        <v>3500</v>
      </c>
    </row>
    <row r="21" spans="1:4" x14ac:dyDescent="0.35">
      <c r="A21" s="4">
        <v>46162</v>
      </c>
      <c r="B21" t="s">
        <v>125</v>
      </c>
      <c r="C21">
        <v>69150</v>
      </c>
      <c r="D21">
        <v>6000</v>
      </c>
    </row>
    <row r="22" spans="1:4" x14ac:dyDescent="0.35">
      <c r="A22" s="4">
        <v>46163</v>
      </c>
      <c r="B22" t="s">
        <v>125</v>
      </c>
      <c r="C22">
        <v>44950</v>
      </c>
      <c r="D22">
        <v>10500</v>
      </c>
    </row>
    <row r="23" spans="1:4" x14ac:dyDescent="0.35">
      <c r="A23" s="4">
        <v>46164</v>
      </c>
      <c r="B23" t="s">
        <v>125</v>
      </c>
      <c r="C23">
        <v>160200</v>
      </c>
      <c r="D23">
        <v>0</v>
      </c>
    </row>
    <row r="24" spans="1:4" x14ac:dyDescent="0.35">
      <c r="A24" s="4">
        <v>46165</v>
      </c>
      <c r="B24" t="s">
        <v>125</v>
      </c>
      <c r="C24">
        <v>104700</v>
      </c>
      <c r="D24">
        <v>0</v>
      </c>
    </row>
    <row r="25" spans="1:4" x14ac:dyDescent="0.35">
      <c r="A25" s="4">
        <v>46166</v>
      </c>
      <c r="B25" t="s">
        <v>125</v>
      </c>
      <c r="C25">
        <v>107300</v>
      </c>
      <c r="D25">
        <v>620675</v>
      </c>
    </row>
    <row r="26" spans="1:4" x14ac:dyDescent="0.35">
      <c r="A26" t="s">
        <v>135</v>
      </c>
      <c r="B26" t="s">
        <v>125</v>
      </c>
      <c r="C26">
        <v>52400</v>
      </c>
      <c r="D26">
        <v>81935</v>
      </c>
    </row>
    <row r="27" spans="1:4" x14ac:dyDescent="0.35">
      <c r="A27" s="4">
        <v>46168</v>
      </c>
      <c r="B27" t="s">
        <v>125</v>
      </c>
      <c r="C27">
        <v>46600</v>
      </c>
      <c r="D27">
        <v>74320</v>
      </c>
    </row>
    <row r="28" spans="1:4" x14ac:dyDescent="0.35">
      <c r="A28" s="4">
        <v>46169</v>
      </c>
      <c r="B28" t="s">
        <v>125</v>
      </c>
      <c r="C28">
        <v>65550</v>
      </c>
      <c r="D28">
        <v>61000</v>
      </c>
    </row>
    <row r="29" spans="1:4" x14ac:dyDescent="0.35">
      <c r="A29" s="4">
        <v>46170</v>
      </c>
      <c r="B29" t="s">
        <v>125</v>
      </c>
      <c r="C29">
        <v>57000</v>
      </c>
      <c r="D29">
        <v>53500</v>
      </c>
    </row>
    <row r="30" spans="1:4" x14ac:dyDescent="0.35">
      <c r="A30" s="4">
        <v>46171</v>
      </c>
      <c r="B30" t="s">
        <v>125</v>
      </c>
      <c r="C30">
        <v>92200</v>
      </c>
    </row>
    <row r="31" spans="1:4" x14ac:dyDescent="0.35">
      <c r="A31" s="4">
        <v>46172</v>
      </c>
      <c r="B31" t="s">
        <v>125</v>
      </c>
      <c r="C31">
        <v>80150</v>
      </c>
    </row>
    <row r="32" spans="1:4" x14ac:dyDescent="0.35">
      <c r="A32" s="4">
        <v>46173</v>
      </c>
      <c r="B32" t="s">
        <v>125</v>
      </c>
      <c r="C32">
        <v>75400</v>
      </c>
    </row>
    <row r="33" spans="1:4" x14ac:dyDescent="0.35">
      <c r="B33" t="s">
        <v>137</v>
      </c>
      <c r="C33">
        <v>354085</v>
      </c>
    </row>
    <row r="34" spans="1:4" x14ac:dyDescent="0.35">
      <c r="A34" t="s">
        <v>136</v>
      </c>
      <c r="C34">
        <f>SUM(C32+C31+C30+C29+C28+C27+C26+C25+C24+C23+C22+C21+C20+C19+C18+C17+C16+C15+C14+C13+C12+C11+C10+C9+C8+C7+C6+C5+C4+C3+C2+C33)</f>
        <v>2522035</v>
      </c>
      <c r="D34">
        <f>SUM(D29+D28+D27+D26+D25+D24+D23+D22+D21+D20+D19+D18+D17+D16+D15+D14+D13+D12+D11+D10+D9+D8)</f>
        <v>2504620</v>
      </c>
    </row>
    <row r="35" spans="1:4" x14ac:dyDescent="0.35">
      <c r="C35">
        <f>SUM(C34-D34)</f>
        <v>17415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"/>
  <sheetViews>
    <sheetView workbookViewId="0"/>
  </sheetViews>
  <sheetFormatPr baseColWidth="10" defaultColWidth="9.1796875" defaultRowHeight="14.5" x14ac:dyDescent="0.35"/>
  <cols>
    <col min="1" max="1" width="7" customWidth="1"/>
    <col min="2" max="2" width="19" customWidth="1"/>
    <col min="3" max="3" width="8" customWidth="1"/>
    <col min="4" max="4" width="9" customWidth="1"/>
    <col min="5" max="5" width="17" customWidth="1"/>
    <col min="6" max="6" width="14" customWidth="1"/>
    <col min="7" max="7" width="17" customWidth="1"/>
  </cols>
  <sheetData>
    <row r="1" spans="1:7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>
      <selection activeCell="B3" sqref="B3"/>
    </sheetView>
  </sheetViews>
  <sheetFormatPr baseColWidth="10" defaultColWidth="9.1796875" defaultRowHeight="14.5" x14ac:dyDescent="0.35"/>
  <cols>
    <col min="1" max="1" width="9" customWidth="1"/>
    <col min="2" max="4" width="13" customWidth="1"/>
  </cols>
  <sheetData>
    <row r="1" spans="1:4" x14ac:dyDescent="0.35">
      <c r="A1" s="1" t="s">
        <v>22</v>
      </c>
      <c r="B1" s="1" t="s">
        <v>9</v>
      </c>
      <c r="C1" s="1" t="s">
        <v>3</v>
      </c>
      <c r="D1" s="1" t="s">
        <v>4</v>
      </c>
    </row>
    <row r="2" spans="1:4" x14ac:dyDescent="0.35">
      <c r="A2" s="5">
        <v>46143</v>
      </c>
      <c r="B2">
        <v>2522035</v>
      </c>
      <c r="C2">
        <v>2504620</v>
      </c>
      <c r="D2">
        <v>17415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5"/>
  <sheetViews>
    <sheetView workbookViewId="0">
      <selection activeCell="B1" sqref="B1"/>
    </sheetView>
  </sheetViews>
  <sheetFormatPr baseColWidth="10" defaultColWidth="9.1796875" defaultRowHeight="14.5" x14ac:dyDescent="0.35"/>
  <cols>
    <col min="1" max="1" width="16.81640625" customWidth="1"/>
    <col min="2" max="2" width="28.81640625" customWidth="1"/>
    <col min="3" max="3" width="18" customWidth="1"/>
    <col min="4" max="4" width="14.7265625" customWidth="1"/>
    <col min="5" max="5" width="18" customWidth="1"/>
    <col min="6" max="6" width="16" customWidth="1"/>
    <col min="7" max="7" width="9.1796875" customWidth="1"/>
  </cols>
  <sheetData>
    <row r="1" spans="1:6" x14ac:dyDescent="0.35">
      <c r="A1" s="1" t="s">
        <v>8</v>
      </c>
      <c r="B1" s="1" t="s">
        <v>6</v>
      </c>
      <c r="C1" s="2" t="s">
        <v>18</v>
      </c>
      <c r="D1" s="1" t="s">
        <v>19</v>
      </c>
      <c r="E1" s="1" t="s">
        <v>20</v>
      </c>
      <c r="F1" s="1" t="s">
        <v>21</v>
      </c>
    </row>
    <row r="2" spans="1:6" x14ac:dyDescent="0.35">
      <c r="B2" t="s">
        <v>23</v>
      </c>
    </row>
    <row r="3" spans="1:6" x14ac:dyDescent="0.35">
      <c r="B3" t="s">
        <v>23</v>
      </c>
    </row>
    <row r="4" spans="1:6" x14ac:dyDescent="0.35">
      <c r="B4" t="s">
        <v>24</v>
      </c>
    </row>
    <row r="5" spans="1:6" x14ac:dyDescent="0.35">
      <c r="B5" t="s">
        <v>25</v>
      </c>
    </row>
    <row r="6" spans="1:6" x14ac:dyDescent="0.35">
      <c r="B6" t="s">
        <v>28</v>
      </c>
    </row>
    <row r="7" spans="1:6" x14ac:dyDescent="0.35">
      <c r="B7" t="s">
        <v>29</v>
      </c>
    </row>
    <row r="8" spans="1:6" x14ac:dyDescent="0.35">
      <c r="B8" t="s">
        <v>26</v>
      </c>
    </row>
    <row r="9" spans="1:6" x14ac:dyDescent="0.35">
      <c r="B9" t="s">
        <v>27</v>
      </c>
    </row>
    <row r="10" spans="1:6" x14ac:dyDescent="0.35">
      <c r="B10" t="s">
        <v>30</v>
      </c>
    </row>
    <row r="11" spans="1:6" x14ac:dyDescent="0.35">
      <c r="B11" t="s">
        <v>31</v>
      </c>
    </row>
    <row r="12" spans="1:6" x14ac:dyDescent="0.35">
      <c r="B12" t="s">
        <v>32</v>
      </c>
    </row>
    <row r="13" spans="1:6" x14ac:dyDescent="0.35">
      <c r="B13" t="s">
        <v>33</v>
      </c>
    </row>
    <row r="14" spans="1:6" x14ac:dyDescent="0.35">
      <c r="B14" t="s">
        <v>34</v>
      </c>
    </row>
    <row r="15" spans="1:6" x14ac:dyDescent="0.35">
      <c r="B15" t="s">
        <v>35</v>
      </c>
    </row>
    <row r="16" spans="1:6" x14ac:dyDescent="0.35">
      <c r="B16" t="s">
        <v>36</v>
      </c>
    </row>
    <row r="17" spans="2:2" x14ac:dyDescent="0.35">
      <c r="B17" t="s">
        <v>37</v>
      </c>
    </row>
    <row r="18" spans="2:2" x14ac:dyDescent="0.35">
      <c r="B18" t="s">
        <v>38</v>
      </c>
    </row>
    <row r="19" spans="2:2" x14ac:dyDescent="0.35">
      <c r="B19" t="s">
        <v>39</v>
      </c>
    </row>
    <row r="20" spans="2:2" x14ac:dyDescent="0.35">
      <c r="B20" t="s">
        <v>40</v>
      </c>
    </row>
    <row r="21" spans="2:2" x14ac:dyDescent="0.35">
      <c r="B21" t="s">
        <v>41</v>
      </c>
    </row>
    <row r="22" spans="2:2" x14ac:dyDescent="0.35">
      <c r="B22" t="s">
        <v>42</v>
      </c>
    </row>
    <row r="23" spans="2:2" x14ac:dyDescent="0.35">
      <c r="B23" t="s">
        <v>43</v>
      </c>
    </row>
    <row r="24" spans="2:2" x14ac:dyDescent="0.35">
      <c r="B24" t="s">
        <v>44</v>
      </c>
    </row>
    <row r="25" spans="2:2" x14ac:dyDescent="0.35">
      <c r="B25" t="s">
        <v>45</v>
      </c>
    </row>
    <row r="26" spans="2:2" x14ac:dyDescent="0.35">
      <c r="B26" t="s">
        <v>46</v>
      </c>
    </row>
    <row r="27" spans="2:2" x14ac:dyDescent="0.35">
      <c r="B27" t="s">
        <v>47</v>
      </c>
    </row>
    <row r="28" spans="2:2" x14ac:dyDescent="0.35">
      <c r="B28" t="s">
        <v>48</v>
      </c>
    </row>
    <row r="29" spans="2:2" x14ac:dyDescent="0.35">
      <c r="B29" t="s">
        <v>49</v>
      </c>
    </row>
    <row r="30" spans="2:2" x14ac:dyDescent="0.35">
      <c r="B30" t="s">
        <v>50</v>
      </c>
    </row>
    <row r="31" spans="2:2" x14ac:dyDescent="0.35">
      <c r="B31" t="s">
        <v>51</v>
      </c>
    </row>
    <row r="32" spans="2:2" x14ac:dyDescent="0.35">
      <c r="B32" t="s">
        <v>52</v>
      </c>
    </row>
    <row r="33" spans="2:2" x14ac:dyDescent="0.35">
      <c r="B33" t="s">
        <v>53</v>
      </c>
    </row>
    <row r="34" spans="2:2" x14ac:dyDescent="0.35">
      <c r="B34" t="s">
        <v>54</v>
      </c>
    </row>
    <row r="35" spans="2:2" x14ac:dyDescent="0.35">
      <c r="B35" t="s">
        <v>55</v>
      </c>
    </row>
    <row r="36" spans="2:2" x14ac:dyDescent="0.35">
      <c r="B36" t="s">
        <v>56</v>
      </c>
    </row>
    <row r="37" spans="2:2" x14ac:dyDescent="0.35">
      <c r="B37" t="s">
        <v>57</v>
      </c>
    </row>
    <row r="38" spans="2:2" x14ac:dyDescent="0.35">
      <c r="B38" t="s">
        <v>58</v>
      </c>
    </row>
    <row r="39" spans="2:2" x14ac:dyDescent="0.35">
      <c r="B39" t="s">
        <v>59</v>
      </c>
    </row>
    <row r="40" spans="2:2" x14ac:dyDescent="0.35">
      <c r="B40" t="s">
        <v>60</v>
      </c>
    </row>
    <row r="41" spans="2:2" x14ac:dyDescent="0.35">
      <c r="B41" t="s">
        <v>61</v>
      </c>
    </row>
    <row r="42" spans="2:2" x14ac:dyDescent="0.35">
      <c r="B42" t="s">
        <v>62</v>
      </c>
    </row>
    <row r="43" spans="2:2" x14ac:dyDescent="0.35">
      <c r="B43" t="s">
        <v>63</v>
      </c>
    </row>
    <row r="44" spans="2:2" x14ac:dyDescent="0.35">
      <c r="B44" t="s">
        <v>64</v>
      </c>
    </row>
    <row r="45" spans="2:2" x14ac:dyDescent="0.35">
      <c r="B45" t="s">
        <v>65</v>
      </c>
    </row>
    <row r="46" spans="2:2" x14ac:dyDescent="0.35">
      <c r="B46" t="s">
        <v>66</v>
      </c>
    </row>
    <row r="47" spans="2:2" x14ac:dyDescent="0.35">
      <c r="B47" t="s">
        <v>67</v>
      </c>
    </row>
    <row r="48" spans="2:2" x14ac:dyDescent="0.35">
      <c r="B48" t="s">
        <v>68</v>
      </c>
    </row>
    <row r="49" spans="2:2" x14ac:dyDescent="0.35">
      <c r="B49" t="s">
        <v>69</v>
      </c>
    </row>
    <row r="50" spans="2:2" x14ac:dyDescent="0.35">
      <c r="B50" t="s">
        <v>70</v>
      </c>
    </row>
    <row r="51" spans="2:2" x14ac:dyDescent="0.35">
      <c r="B51" t="s">
        <v>71</v>
      </c>
    </row>
    <row r="52" spans="2:2" x14ac:dyDescent="0.35">
      <c r="B52" t="s">
        <v>72</v>
      </c>
    </row>
    <row r="53" spans="2:2" x14ac:dyDescent="0.35">
      <c r="B53" t="s">
        <v>73</v>
      </c>
    </row>
    <row r="54" spans="2:2" x14ac:dyDescent="0.35">
      <c r="B54" t="s">
        <v>74</v>
      </c>
    </row>
    <row r="55" spans="2:2" x14ac:dyDescent="0.35">
      <c r="B55" t="s">
        <v>75</v>
      </c>
    </row>
    <row r="56" spans="2:2" x14ac:dyDescent="0.35">
      <c r="B56" t="s">
        <v>76</v>
      </c>
    </row>
    <row r="57" spans="2:2" x14ac:dyDescent="0.35">
      <c r="B57" t="s">
        <v>77</v>
      </c>
    </row>
    <row r="58" spans="2:2" x14ac:dyDescent="0.35">
      <c r="B58" t="s">
        <v>78</v>
      </c>
    </row>
    <row r="59" spans="2:2" x14ac:dyDescent="0.35">
      <c r="B59" t="s">
        <v>79</v>
      </c>
    </row>
    <row r="60" spans="2:2" x14ac:dyDescent="0.35">
      <c r="B60" t="s">
        <v>80</v>
      </c>
    </row>
    <row r="61" spans="2:2" x14ac:dyDescent="0.35">
      <c r="B61" t="s">
        <v>81</v>
      </c>
    </row>
    <row r="62" spans="2:2" x14ac:dyDescent="0.35">
      <c r="B62" t="s">
        <v>82</v>
      </c>
    </row>
    <row r="63" spans="2:2" x14ac:dyDescent="0.35">
      <c r="B63" t="s">
        <v>83</v>
      </c>
    </row>
    <row r="64" spans="2:2" x14ac:dyDescent="0.35">
      <c r="B64" t="s">
        <v>84</v>
      </c>
    </row>
    <row r="65" spans="2:2" x14ac:dyDescent="0.35">
      <c r="B65" t="s">
        <v>85</v>
      </c>
    </row>
    <row r="66" spans="2:2" x14ac:dyDescent="0.35">
      <c r="B66" t="s">
        <v>86</v>
      </c>
    </row>
    <row r="67" spans="2:2" x14ac:dyDescent="0.35">
      <c r="B67" t="s">
        <v>87</v>
      </c>
    </row>
    <row r="68" spans="2:2" x14ac:dyDescent="0.35">
      <c r="B68" t="s">
        <v>88</v>
      </c>
    </row>
    <row r="69" spans="2:2" x14ac:dyDescent="0.35">
      <c r="B69" t="s">
        <v>89</v>
      </c>
    </row>
    <row r="70" spans="2:2" x14ac:dyDescent="0.35">
      <c r="B70" t="s">
        <v>90</v>
      </c>
    </row>
    <row r="71" spans="2:2" x14ac:dyDescent="0.35">
      <c r="B71" t="s">
        <v>91</v>
      </c>
    </row>
    <row r="72" spans="2:2" x14ac:dyDescent="0.35">
      <c r="B72" t="s">
        <v>92</v>
      </c>
    </row>
    <row r="73" spans="2:2" x14ac:dyDescent="0.35">
      <c r="B73" t="s">
        <v>93</v>
      </c>
    </row>
    <row r="74" spans="2:2" x14ac:dyDescent="0.35">
      <c r="B74" t="s">
        <v>94</v>
      </c>
    </row>
    <row r="75" spans="2:2" x14ac:dyDescent="0.35">
      <c r="B75" t="s">
        <v>95</v>
      </c>
    </row>
    <row r="76" spans="2:2" x14ac:dyDescent="0.35">
      <c r="B76" t="s">
        <v>96</v>
      </c>
    </row>
    <row r="77" spans="2:2" x14ac:dyDescent="0.35">
      <c r="B77" t="s">
        <v>97</v>
      </c>
    </row>
    <row r="78" spans="2:2" x14ac:dyDescent="0.35">
      <c r="B78" t="s">
        <v>98</v>
      </c>
    </row>
    <row r="79" spans="2:2" x14ac:dyDescent="0.35">
      <c r="B79" t="s">
        <v>99</v>
      </c>
    </row>
    <row r="80" spans="2:2" x14ac:dyDescent="0.35">
      <c r="B80" t="s">
        <v>100</v>
      </c>
    </row>
    <row r="81" spans="2:2" x14ac:dyDescent="0.35">
      <c r="B81" t="s">
        <v>101</v>
      </c>
    </row>
    <row r="82" spans="2:2" x14ac:dyDescent="0.35">
      <c r="B82" t="s">
        <v>102</v>
      </c>
    </row>
    <row r="83" spans="2:2" x14ac:dyDescent="0.35">
      <c r="B83" t="s">
        <v>103</v>
      </c>
    </row>
    <row r="84" spans="2:2" x14ac:dyDescent="0.35">
      <c r="B84" t="s">
        <v>104</v>
      </c>
    </row>
    <row r="85" spans="2:2" x14ac:dyDescent="0.35">
      <c r="B85" t="s">
        <v>105</v>
      </c>
    </row>
    <row r="86" spans="2:2" x14ac:dyDescent="0.35">
      <c r="B86" t="s">
        <v>106</v>
      </c>
    </row>
    <row r="87" spans="2:2" x14ac:dyDescent="0.35">
      <c r="B87" t="s">
        <v>35</v>
      </c>
    </row>
    <row r="88" spans="2:2" x14ac:dyDescent="0.35">
      <c r="B88" t="s">
        <v>107</v>
      </c>
    </row>
    <row r="89" spans="2:2" x14ac:dyDescent="0.35">
      <c r="B89" t="s">
        <v>108</v>
      </c>
    </row>
    <row r="90" spans="2:2" x14ac:dyDescent="0.35">
      <c r="B90" t="s">
        <v>109</v>
      </c>
    </row>
    <row r="91" spans="2:2" x14ac:dyDescent="0.35">
      <c r="B91" t="s">
        <v>110</v>
      </c>
    </row>
    <row r="92" spans="2:2" x14ac:dyDescent="0.35">
      <c r="B92" t="s">
        <v>111</v>
      </c>
    </row>
    <row r="93" spans="2:2" x14ac:dyDescent="0.35">
      <c r="B93" t="s">
        <v>112</v>
      </c>
    </row>
    <row r="94" spans="2:2" x14ac:dyDescent="0.35">
      <c r="B94" t="s">
        <v>113</v>
      </c>
    </row>
    <row r="95" spans="2:2" x14ac:dyDescent="0.35">
      <c r="B95" t="s">
        <v>114</v>
      </c>
    </row>
    <row r="96" spans="2:2" x14ac:dyDescent="0.35">
      <c r="B96" t="s">
        <v>115</v>
      </c>
    </row>
    <row r="97" spans="2:2" x14ac:dyDescent="0.35">
      <c r="B97" t="s">
        <v>116</v>
      </c>
    </row>
    <row r="98" spans="2:2" x14ac:dyDescent="0.35">
      <c r="B98" t="s">
        <v>117</v>
      </c>
    </row>
    <row r="99" spans="2:2" x14ac:dyDescent="0.35">
      <c r="B99" t="s">
        <v>118</v>
      </c>
    </row>
    <row r="100" spans="2:2" x14ac:dyDescent="0.35">
      <c r="B100" t="s">
        <v>119</v>
      </c>
    </row>
    <row r="101" spans="2:2" x14ac:dyDescent="0.35">
      <c r="B101" t="s">
        <v>120</v>
      </c>
    </row>
    <row r="102" spans="2:2" x14ac:dyDescent="0.35">
      <c r="B102" t="s">
        <v>121</v>
      </c>
    </row>
    <row r="103" spans="2:2" x14ac:dyDescent="0.35">
      <c r="B103" t="s">
        <v>122</v>
      </c>
    </row>
    <row r="104" spans="2:2" x14ac:dyDescent="0.35">
      <c r="B104" t="s">
        <v>123</v>
      </c>
    </row>
    <row r="105" spans="2:2" x14ac:dyDescent="0.35">
      <c r="B105" t="s">
        <v>123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Tableau de bord</vt:lpstr>
      <vt:lpstr>Stock Pharmacie</vt:lpstr>
      <vt:lpstr>Caisse Journalière</vt:lpstr>
      <vt:lpstr>Patients</vt:lpstr>
      <vt:lpstr>État Financier</vt:lpstr>
      <vt:lpstr>REMERCOM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Arafath Imorou</cp:lastModifiedBy>
  <dcterms:created xsi:type="dcterms:W3CDTF">2026-05-14T10:56:23Z</dcterms:created>
  <dcterms:modified xsi:type="dcterms:W3CDTF">2026-06-13T17:08:27Z</dcterms:modified>
</cp:coreProperties>
</file>